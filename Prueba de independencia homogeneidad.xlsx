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aldair\Desktop\Estadistica Exams\"/>
    </mc:Choice>
  </mc:AlternateContent>
  <xr:revisionPtr revIDLastSave="0" documentId="13_ncr:1_{C0FBC7C8-13D7-435D-9D50-4A71A9A4CA2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1" l="1"/>
  <c r="P32" i="1" s="1"/>
  <c r="K24" i="1"/>
  <c r="L23" i="1"/>
  <c r="M23" i="1" s="1"/>
  <c r="M22" i="1"/>
  <c r="L22" i="1"/>
  <c r="L21" i="1"/>
  <c r="M21" i="1" s="1"/>
  <c r="M20" i="1"/>
  <c r="L20" i="1"/>
  <c r="L19" i="1"/>
  <c r="L24" i="1" s="1"/>
  <c r="M18" i="1"/>
  <c r="L18" i="1"/>
  <c r="G32" i="1"/>
  <c r="C36" i="1" s="1"/>
  <c r="F30" i="1"/>
  <c r="M19" i="1" l="1"/>
  <c r="M24" i="1" s="1"/>
  <c r="F18" i="1"/>
  <c r="F24" i="1"/>
  <c r="D24" i="1"/>
  <c r="F19" i="1"/>
  <c r="F20" i="1"/>
  <c r="F21" i="1"/>
  <c r="F22" i="1"/>
  <c r="F23" i="1"/>
  <c r="E24" i="1"/>
  <c r="E23" i="1"/>
  <c r="E22" i="1"/>
  <c r="E21" i="1"/>
  <c r="E20" i="1"/>
  <c r="E19" i="1"/>
  <c r="E18" i="1"/>
</calcChain>
</file>

<file path=xl/sharedStrings.xml><?xml version="1.0" encoding="utf-8"?>
<sst xmlns="http://schemas.openxmlformats.org/spreadsheetml/2006/main" count="46" uniqueCount="26">
  <si>
    <t>Paso1:</t>
  </si>
  <si>
    <t>HN; el nivel de aprendizaje y el nivel de educacion no estan relacionados(independientes)</t>
  </si>
  <si>
    <t>HA: el nivel de aprendizaje y el nivel de educacion estan relacionados(dependientes)</t>
  </si>
  <si>
    <t>Paso2:</t>
  </si>
  <si>
    <t>a=</t>
  </si>
  <si>
    <t>Paso 3</t>
  </si>
  <si>
    <t>.</t>
  </si>
  <si>
    <t>Primaria</t>
  </si>
  <si>
    <t>Secundaria</t>
  </si>
  <si>
    <t>Conceptual</t>
  </si>
  <si>
    <t>Prodecimental</t>
  </si>
  <si>
    <t>Actitudinal</t>
  </si>
  <si>
    <t>Orden</t>
  </si>
  <si>
    <t>Observados</t>
  </si>
  <si>
    <t>formula</t>
  </si>
  <si>
    <t>Paso 4</t>
  </si>
  <si>
    <t>total</t>
  </si>
  <si>
    <t>gl =</t>
  </si>
  <si>
    <t>=INV.CHICUAD</t>
  </si>
  <si>
    <t>X^2 (0.95,2)</t>
  </si>
  <si>
    <t>gl = colum -1 * rows -1</t>
  </si>
  <si>
    <t>2-1*3-1</t>
  </si>
  <si>
    <t>Esperado</t>
  </si>
  <si>
    <t xml:space="preserve">Paso 1 </t>
  </si>
  <si>
    <t>H0: no hay diferencia entre los grupos respecto a las categoría de variables(hay igualdad)</t>
  </si>
  <si>
    <t>H1: no hay homogeneidad(no hay igualdad)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</si>
</sst>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 Math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  <xf numFmtId="3" fontId="0" fillId="0" borderId="1" xfId="0" applyNumberForma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vertical="center" readingOrder="1"/>
    </xf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left" vertical="center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2</xdr:row>
      <xdr:rowOff>0</xdr:rowOff>
    </xdr:from>
    <xdr:to>
      <xdr:col>8</xdr:col>
      <xdr:colOff>571500</xdr:colOff>
      <xdr:row>4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48CCD3-A81E-41F9-B373-6A4A3F07E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381000"/>
          <a:ext cx="13525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25</xdr:row>
      <xdr:rowOff>47625</xdr:rowOff>
    </xdr:from>
    <xdr:to>
      <xdr:col>4</xdr:col>
      <xdr:colOff>561975</xdr:colOff>
      <xdr:row>33</xdr:row>
      <xdr:rowOff>28575</xdr:rowOff>
    </xdr:to>
    <xdr:pic>
      <xdr:nvPicPr>
        <xdr:cNvPr id="4" name="Imagen 3" descr="Texto alternativo generado por el equipo:&#10;1-a &#10;NRho Rho &#10;a ">
          <a:extLst>
            <a:ext uri="{FF2B5EF4-FFF2-40B4-BE49-F238E27FC236}">
              <a16:creationId xmlns:a16="http://schemas.microsoft.com/office/drawing/2014/main" id="{D24D062F-C461-4B5A-B7C7-EBFBDC6E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3476625"/>
          <a:ext cx="26860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257175</xdr:colOff>
      <xdr:row>26</xdr:row>
      <xdr:rowOff>28575</xdr:rowOff>
    </xdr:from>
    <xdr:ext cx="2686050" cy="1504950"/>
    <xdr:pic>
      <xdr:nvPicPr>
        <xdr:cNvPr id="5" name="Imagen 4" descr="Texto alternativo generado por el equipo:&#10;1-a &#10;NRho Rho &#10;a ">
          <a:extLst>
            <a:ext uri="{FF2B5EF4-FFF2-40B4-BE49-F238E27FC236}">
              <a16:creationId xmlns:a16="http://schemas.microsoft.com/office/drawing/2014/main" id="{E0947763-1414-4883-957B-1907B68C0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5124450"/>
          <a:ext cx="26860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6"/>
  <sheetViews>
    <sheetView tabSelected="1" topLeftCell="D1" workbookViewId="0">
      <selection activeCell="P7" sqref="P7"/>
    </sheetView>
  </sheetViews>
  <sheetFormatPr baseColWidth="10" defaultColWidth="9.140625" defaultRowHeight="15" x14ac:dyDescent="0.25"/>
  <cols>
    <col min="3" max="3" width="17" customWidth="1"/>
    <col min="4" max="4" width="11.42578125" bestFit="1" customWidth="1"/>
    <col min="5" max="5" width="20.7109375" customWidth="1"/>
    <col min="6" max="6" width="25.42578125" customWidth="1"/>
    <col min="10" max="10" width="18" customWidth="1"/>
    <col min="11" max="11" width="12.42578125" customWidth="1"/>
    <col min="12" max="12" width="10.7109375" bestFit="1" customWidth="1"/>
    <col min="13" max="13" width="10.85546875" customWidth="1"/>
  </cols>
  <sheetData>
    <row r="3" spans="3:13" x14ac:dyDescent="0.25">
      <c r="C3" s="1" t="s">
        <v>0</v>
      </c>
      <c r="K3" t="s">
        <v>23</v>
      </c>
    </row>
    <row r="4" spans="3:13" x14ac:dyDescent="0.25">
      <c r="C4" s="1" t="s">
        <v>1</v>
      </c>
      <c r="I4" s="9" t="s">
        <v>24</v>
      </c>
    </row>
    <row r="5" spans="3:13" x14ac:dyDescent="0.25">
      <c r="C5" s="1" t="s">
        <v>2</v>
      </c>
      <c r="I5" s="9" t="s">
        <v>25</v>
      </c>
    </row>
    <row r="6" spans="3:13" x14ac:dyDescent="0.25">
      <c r="C6" s="1" t="s">
        <v>3</v>
      </c>
      <c r="K6" s="1" t="s">
        <v>3</v>
      </c>
    </row>
    <row r="7" spans="3:13" x14ac:dyDescent="0.25">
      <c r="C7" s="1" t="s">
        <v>4</v>
      </c>
      <c r="D7">
        <v>0.05</v>
      </c>
      <c r="K7" s="1" t="s">
        <v>4</v>
      </c>
      <c r="L7">
        <v>0.05</v>
      </c>
    </row>
    <row r="9" spans="3:13" ht="15.75" thickBot="1" x14ac:dyDescent="0.3">
      <c r="C9" s="1" t="s">
        <v>5</v>
      </c>
      <c r="J9" s="1" t="s">
        <v>5</v>
      </c>
    </row>
    <row r="10" spans="3:13" ht="15.75" customHeight="1" thickBot="1" x14ac:dyDescent="0.3">
      <c r="C10" s="2" t="s">
        <v>6</v>
      </c>
      <c r="D10" s="2" t="s">
        <v>7</v>
      </c>
      <c r="E10" s="2" t="s">
        <v>8</v>
      </c>
      <c r="F10" s="2"/>
      <c r="I10" s="3"/>
      <c r="J10" s="2" t="s">
        <v>6</v>
      </c>
      <c r="K10" s="2" t="s">
        <v>7</v>
      </c>
      <c r="L10" s="2" t="s">
        <v>8</v>
      </c>
      <c r="M10" s="2"/>
    </row>
    <row r="11" spans="3:13" ht="15.75" thickBot="1" x14ac:dyDescent="0.3">
      <c r="C11" s="2" t="s">
        <v>9</v>
      </c>
      <c r="D11" s="2">
        <v>180</v>
      </c>
      <c r="E11" s="2">
        <v>100</v>
      </c>
      <c r="F11" s="2">
        <v>280</v>
      </c>
      <c r="J11" s="2" t="s">
        <v>9</v>
      </c>
      <c r="K11" s="2">
        <v>180</v>
      </c>
      <c r="L11" s="2">
        <v>100</v>
      </c>
      <c r="M11" s="2">
        <v>280</v>
      </c>
    </row>
    <row r="12" spans="3:13" ht="15.75" thickBot="1" x14ac:dyDescent="0.3">
      <c r="C12" s="2" t="s">
        <v>10</v>
      </c>
      <c r="D12" s="2">
        <v>190</v>
      </c>
      <c r="E12" s="2">
        <v>280</v>
      </c>
      <c r="F12" s="2">
        <v>470</v>
      </c>
      <c r="J12" s="2" t="s">
        <v>10</v>
      </c>
      <c r="K12" s="2">
        <v>190</v>
      </c>
      <c r="L12" s="2">
        <v>280</v>
      </c>
      <c r="M12" s="2">
        <v>470</v>
      </c>
    </row>
    <row r="13" spans="3:13" ht="15.75" thickBot="1" x14ac:dyDescent="0.3">
      <c r="C13" s="2" t="s">
        <v>11</v>
      </c>
      <c r="D13" s="2">
        <v>170</v>
      </c>
      <c r="E13" s="2">
        <v>120</v>
      </c>
      <c r="F13" s="2">
        <v>290</v>
      </c>
      <c r="J13" s="2" t="s">
        <v>11</v>
      </c>
      <c r="K13" s="2">
        <v>170</v>
      </c>
      <c r="L13" s="2">
        <v>120</v>
      </c>
      <c r="M13" s="2">
        <v>290</v>
      </c>
    </row>
    <row r="14" spans="3:13" ht="15.75" thickBot="1" x14ac:dyDescent="0.3">
      <c r="C14" s="2"/>
      <c r="D14" s="2">
        <v>540</v>
      </c>
      <c r="E14" s="2">
        <v>500</v>
      </c>
      <c r="F14" s="2">
        <v>1040</v>
      </c>
      <c r="J14" s="2"/>
      <c r="K14" s="2">
        <v>540</v>
      </c>
      <c r="L14" s="2">
        <v>500</v>
      </c>
      <c r="M14" s="2">
        <v>1040</v>
      </c>
    </row>
    <row r="16" spans="3:13" ht="15.75" thickBot="1" x14ac:dyDescent="0.3">
      <c r="C16" s="5"/>
    </row>
    <row r="17" spans="1:16" ht="15.75" thickBot="1" x14ac:dyDescent="0.3">
      <c r="C17" s="2" t="s">
        <v>12</v>
      </c>
      <c r="D17" s="2" t="s">
        <v>13</v>
      </c>
      <c r="E17" s="2" t="s">
        <v>22</v>
      </c>
      <c r="F17" s="2" t="s">
        <v>14</v>
      </c>
      <c r="G17" s="2"/>
      <c r="J17" s="2" t="s">
        <v>12</v>
      </c>
      <c r="K17" s="2" t="s">
        <v>13</v>
      </c>
      <c r="L17" s="2" t="s">
        <v>22</v>
      </c>
      <c r="M17" s="2" t="s">
        <v>14</v>
      </c>
      <c r="N17" s="2"/>
    </row>
    <row r="18" spans="1:16" ht="15.75" thickBot="1" x14ac:dyDescent="0.3">
      <c r="C18" s="2">
        <v>1</v>
      </c>
      <c r="D18" s="2">
        <v>180</v>
      </c>
      <c r="E18" s="2">
        <f>F11*D14/$F$14</f>
        <v>145.38461538461539</v>
      </c>
      <c r="F18" s="2">
        <f>((D18-E18)^2)/E18</f>
        <v>8.2417582417582391</v>
      </c>
      <c r="G18" s="4"/>
      <c r="J18" s="2">
        <v>1</v>
      </c>
      <c r="K18" s="2">
        <v>180</v>
      </c>
      <c r="L18" s="2">
        <f>M11*K14/$F$14</f>
        <v>145.38461538461539</v>
      </c>
      <c r="M18" s="2">
        <f>((K18-L18)^2)/L18</f>
        <v>8.2417582417582391</v>
      </c>
      <c r="N18" s="4"/>
    </row>
    <row r="19" spans="1:16" ht="15.75" thickBot="1" x14ac:dyDescent="0.3">
      <c r="C19" s="2">
        <v>2</v>
      </c>
      <c r="D19" s="2">
        <v>100</v>
      </c>
      <c r="E19" s="2">
        <f>F11*E14/F14</f>
        <v>134.61538461538461</v>
      </c>
      <c r="F19" s="2">
        <f t="shared" ref="F19:F23" si="0">((D19-E19)^2)/E19</f>
        <v>8.9010989010988997</v>
      </c>
      <c r="G19" s="4"/>
      <c r="J19" s="2">
        <v>2</v>
      </c>
      <c r="K19" s="2">
        <v>100</v>
      </c>
      <c r="L19" s="2">
        <f>M11*L14/M14</f>
        <v>134.61538461538461</v>
      </c>
      <c r="M19" s="2">
        <f t="shared" ref="M19:M23" si="1">((K19-L19)^2)/L19</f>
        <v>8.9010989010988997</v>
      </c>
      <c r="N19" s="4"/>
    </row>
    <row r="20" spans="1:16" ht="15.75" thickBot="1" x14ac:dyDescent="0.3">
      <c r="C20" s="2">
        <v>3</v>
      </c>
      <c r="D20" s="2">
        <v>190</v>
      </c>
      <c r="E20" s="2">
        <f>F12*D14/F14</f>
        <v>244.03846153846155</v>
      </c>
      <c r="F20" s="2">
        <f t="shared" si="0"/>
        <v>11.965963508516705</v>
      </c>
      <c r="G20" s="4"/>
      <c r="J20" s="2">
        <v>3</v>
      </c>
      <c r="K20" s="2">
        <v>190</v>
      </c>
      <c r="L20" s="2">
        <f>M12*K14/M14</f>
        <v>244.03846153846155</v>
      </c>
      <c r="M20" s="2">
        <f t="shared" si="1"/>
        <v>11.965963508516705</v>
      </c>
      <c r="N20" s="4"/>
    </row>
    <row r="21" spans="1:16" ht="15.75" thickBot="1" x14ac:dyDescent="0.3">
      <c r="C21" s="2">
        <v>4</v>
      </c>
      <c r="D21" s="2">
        <v>280</v>
      </c>
      <c r="E21" s="2">
        <f>F12*E14/F14</f>
        <v>225.96153846153845</v>
      </c>
      <c r="F21" s="2">
        <f t="shared" si="0"/>
        <v>12.923240589198041</v>
      </c>
      <c r="G21" s="4"/>
      <c r="J21" s="2">
        <v>4</v>
      </c>
      <c r="K21" s="2">
        <v>280</v>
      </c>
      <c r="L21" s="2">
        <f>M12*L14/M14</f>
        <v>225.96153846153845</v>
      </c>
      <c r="M21" s="2">
        <f t="shared" si="1"/>
        <v>12.923240589198041</v>
      </c>
      <c r="N21" s="4"/>
    </row>
    <row r="22" spans="1:16" ht="15.75" thickBot="1" x14ac:dyDescent="0.3">
      <c r="C22" s="2">
        <v>5</v>
      </c>
      <c r="D22" s="2">
        <v>170</v>
      </c>
      <c r="E22" s="2">
        <f>F13*D14/F14</f>
        <v>150.57692307692307</v>
      </c>
      <c r="F22" s="2">
        <f t="shared" si="0"/>
        <v>2.5054032812653531</v>
      </c>
      <c r="G22" s="4"/>
      <c r="J22" s="2">
        <v>5</v>
      </c>
      <c r="K22" s="2">
        <v>170</v>
      </c>
      <c r="L22" s="2">
        <f>M13*K14/M14</f>
        <v>150.57692307692307</v>
      </c>
      <c r="M22" s="2">
        <f t="shared" si="1"/>
        <v>2.5054032812653531</v>
      </c>
      <c r="N22" s="4"/>
    </row>
    <row r="23" spans="1:16" ht="15.75" thickBot="1" x14ac:dyDescent="0.3">
      <c r="C23" s="2">
        <v>6</v>
      </c>
      <c r="D23" s="2">
        <v>120</v>
      </c>
      <c r="E23" s="2">
        <f>F13*E14/F14</f>
        <v>139.42307692307693</v>
      </c>
      <c r="F23" s="2">
        <f t="shared" si="0"/>
        <v>2.7058355437665811</v>
      </c>
      <c r="G23" s="4"/>
      <c r="I23" s="8"/>
      <c r="J23" s="2">
        <v>6</v>
      </c>
      <c r="K23" s="2">
        <v>120</v>
      </c>
      <c r="L23" s="2">
        <f>M13*L14/M14</f>
        <v>139.42307692307693</v>
      </c>
      <c r="M23" s="2">
        <f t="shared" si="1"/>
        <v>2.7058355437665811</v>
      </c>
      <c r="N23" s="4"/>
    </row>
    <row r="24" spans="1:16" ht="15.75" thickBot="1" x14ac:dyDescent="0.3">
      <c r="C24" s="2" t="s">
        <v>16</v>
      </c>
      <c r="D24" s="2">
        <f>SUM(D18:D23)</f>
        <v>1040</v>
      </c>
      <c r="E24" s="2">
        <f>SUM(E18:E23)</f>
        <v>1040</v>
      </c>
      <c r="F24" s="2">
        <f>SUM(F18:F23)</f>
        <v>47.243300065603819</v>
      </c>
      <c r="G24" s="2"/>
      <c r="J24" s="2" t="s">
        <v>16</v>
      </c>
      <c r="K24" s="2">
        <f>SUM(K18:K23)</f>
        <v>1040</v>
      </c>
      <c r="L24" s="2">
        <f>SUM(L18:L23)</f>
        <v>1040</v>
      </c>
      <c r="M24" s="2">
        <f>SUM(M18:M23)</f>
        <v>47.243300065603819</v>
      </c>
      <c r="N24" s="2"/>
    </row>
    <row r="26" spans="1:16" x14ac:dyDescent="0.25">
      <c r="A26" t="s">
        <v>15</v>
      </c>
      <c r="J26" t="s">
        <v>15</v>
      </c>
      <c r="L26" s="8"/>
    </row>
    <row r="28" spans="1:16" x14ac:dyDescent="0.25">
      <c r="B28" s="6"/>
      <c r="F28" t="s">
        <v>20</v>
      </c>
      <c r="K28" s="6"/>
      <c r="O28" t="s">
        <v>20</v>
      </c>
    </row>
    <row r="29" spans="1:16" x14ac:dyDescent="0.25">
      <c r="B29" s="6"/>
      <c r="F29" t="s">
        <v>21</v>
      </c>
      <c r="K29" s="6"/>
      <c r="O29" t="s">
        <v>21</v>
      </c>
    </row>
    <row r="30" spans="1:16" x14ac:dyDescent="0.25">
      <c r="B30" s="6"/>
      <c r="F30">
        <f>1*2</f>
        <v>2</v>
      </c>
      <c r="K30" s="6"/>
      <c r="O30">
        <f>1*2</f>
        <v>2</v>
      </c>
    </row>
    <row r="31" spans="1:16" x14ac:dyDescent="0.25">
      <c r="B31" s="6"/>
      <c r="K31" s="6"/>
    </row>
    <row r="32" spans="1:16" x14ac:dyDescent="0.25">
      <c r="B32" s="6"/>
      <c r="F32" t="s">
        <v>17</v>
      </c>
      <c r="G32">
        <f>F30</f>
        <v>2</v>
      </c>
      <c r="K32" s="6"/>
      <c r="O32" t="s">
        <v>17</v>
      </c>
      <c r="P32">
        <f>O30</f>
        <v>2</v>
      </c>
    </row>
    <row r="33" spans="2:12" x14ac:dyDescent="0.25">
      <c r="B33" s="6"/>
      <c r="K33" s="6"/>
    </row>
    <row r="35" spans="2:12" x14ac:dyDescent="0.25">
      <c r="B35" s="7" t="s">
        <v>18</v>
      </c>
      <c r="C35" t="s">
        <v>19</v>
      </c>
      <c r="K35" s="7" t="s">
        <v>18</v>
      </c>
      <c r="L35" t="s">
        <v>19</v>
      </c>
    </row>
    <row r="36" spans="2:12" x14ac:dyDescent="0.25">
      <c r="C36">
        <f>_xlfn.CHISQ.INV(1-D7,G32)</f>
        <v>5.9914645471079799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</dc:creator>
  <cp:lastModifiedBy>aldair</cp:lastModifiedBy>
  <dcterms:created xsi:type="dcterms:W3CDTF">2015-06-05T18:19:34Z</dcterms:created>
  <dcterms:modified xsi:type="dcterms:W3CDTF">2021-02-04T00:57:41Z</dcterms:modified>
</cp:coreProperties>
</file>